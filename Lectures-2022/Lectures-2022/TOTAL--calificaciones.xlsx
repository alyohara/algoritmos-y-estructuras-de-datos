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ustin.ambrossio/Dropbox (Personal)/Teaching/UNaB/StrucDatos/Lectures/2doPARCIAL/"/>
    </mc:Choice>
  </mc:AlternateContent>
  <xr:revisionPtr revIDLastSave="0" documentId="13_ncr:1_{23BFAD67-CDE0-7A48-80F0-014F28A8E0A3}" xr6:coauthVersionLast="36" xr6:coauthVersionMax="36" xr10:uidLastSave="{00000000-0000-0000-0000-000000000000}"/>
  <bookViews>
    <workbookView xWindow="-34840" yWindow="4140" windowWidth="26860" windowHeight="16740" xr2:uid="{00000000-000D-0000-FFFF-FFFF00000000}"/>
  </bookViews>
  <sheets>
    <sheet name="PARCIAL" sheetId="1" r:id="rId1"/>
    <sheet name="PARCIALITO" sheetId="2" r:id="rId2"/>
  </sheets>
  <calcPr calcId="18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2" i="1"/>
  <c r="H34" i="2" l="1"/>
  <c r="H22" i="2"/>
  <c r="H23" i="2"/>
  <c r="H24" i="2"/>
  <c r="H25" i="2"/>
  <c r="H26" i="2"/>
  <c r="H27" i="2"/>
  <c r="H28" i="2"/>
  <c r="H29" i="2"/>
  <c r="H30" i="2"/>
  <c r="H31" i="2"/>
  <c r="H32" i="2"/>
  <c r="H5" i="2"/>
  <c r="H6" i="2"/>
  <c r="H7" i="2"/>
  <c r="H8" i="2"/>
  <c r="H9" i="2"/>
  <c r="H10" i="2"/>
  <c r="H11" i="2"/>
  <c r="H12" i="2"/>
  <c r="H13" i="2"/>
  <c r="H14" i="2"/>
  <c r="H4" i="2"/>
</calcChain>
</file>

<file path=xl/sharedStrings.xml><?xml version="1.0" encoding="utf-8"?>
<sst xmlns="http://schemas.openxmlformats.org/spreadsheetml/2006/main" count="340" uniqueCount="159">
  <si>
    <t>Apellido(s)</t>
  </si>
  <si>
    <t>Nombre</t>
  </si>
  <si>
    <t>Dirección de correo</t>
  </si>
  <si>
    <t>Estado</t>
  </si>
  <si>
    <t>Comenzado el</t>
  </si>
  <si>
    <t>Finalizado</t>
  </si>
  <si>
    <t>Tiempo requerido</t>
  </si>
  <si>
    <t>Calificación/10,00</t>
  </si>
  <si>
    <t>P. 1 /1,00</t>
  </si>
  <si>
    <t>P. 2 /1,00</t>
  </si>
  <si>
    <t>P. 3 /1,00</t>
  </si>
  <si>
    <t>P. 4 /1,00</t>
  </si>
  <si>
    <t>P. 5 /1,00</t>
  </si>
  <si>
    <t>Basse</t>
  </si>
  <si>
    <t>Matias</t>
  </si>
  <si>
    <t>1 hora 26 minutos</t>
  </si>
  <si>
    <t>-</t>
  </si>
  <si>
    <t>Marusca</t>
  </si>
  <si>
    <t>Raul</t>
  </si>
  <si>
    <t>raulrm@gmail.com</t>
  </si>
  <si>
    <t>5 de octubre de 2021  18:46</t>
  </si>
  <si>
    <t>5 de octubre de 2021  22:12</t>
  </si>
  <si>
    <t>3 horas 26 minutos</t>
  </si>
  <si>
    <t>Barrientos</t>
  </si>
  <si>
    <t>Yanina Micaela</t>
  </si>
  <si>
    <t>5 horas 1 minutos</t>
  </si>
  <si>
    <t>Gutierrez</t>
  </si>
  <si>
    <t>Mario</t>
  </si>
  <si>
    <t>3 horas 17 minutos</t>
  </si>
  <si>
    <t>Moreira</t>
  </si>
  <si>
    <t>Pablo</t>
  </si>
  <si>
    <t>3 horas 34 minutos</t>
  </si>
  <si>
    <t>Macrade</t>
  </si>
  <si>
    <t>Tomas</t>
  </si>
  <si>
    <t>tomasmacrade@gmail.com</t>
  </si>
  <si>
    <t>5 de octubre de 2021  19:01</t>
  </si>
  <si>
    <t>5 de octubre de 2021  22:35</t>
  </si>
  <si>
    <t>Olima</t>
  </si>
  <si>
    <t>Natalia</t>
  </si>
  <si>
    <t>Guerrero</t>
  </si>
  <si>
    <t>Virginia</t>
  </si>
  <si>
    <t>5 de octubre de 2021  23:52</t>
  </si>
  <si>
    <t>Martinez</t>
  </si>
  <si>
    <t>Leonel</t>
  </si>
  <si>
    <t>Ojea</t>
  </si>
  <si>
    <t>Silvana</t>
  </si>
  <si>
    <t>silojea@hotmail.com</t>
  </si>
  <si>
    <t>5 de octubre de 2021  19:12</t>
  </si>
  <si>
    <t>5 de octubre de 2021  23:41</t>
  </si>
  <si>
    <t>4 horas 29 minutos</t>
  </si>
  <si>
    <t>Gabriel</t>
  </si>
  <si>
    <t>4 horas 45 minutos</t>
  </si>
  <si>
    <t>Ponce</t>
  </si>
  <si>
    <t>Francisco</t>
  </si>
  <si>
    <t>Alvaro</t>
  </si>
  <si>
    <t>Villca</t>
  </si>
  <si>
    <t>Mariana</t>
  </si>
  <si>
    <t>Lencina</t>
  </si>
  <si>
    <t>Luis</t>
  </si>
  <si>
    <t>Repetto</t>
  </si>
  <si>
    <t>Juan</t>
  </si>
  <si>
    <t>jm.repetto@hotmail.com</t>
  </si>
  <si>
    <t>5 de octubre de 2021  19:32</t>
  </si>
  <si>
    <t>5 de octubre de 2021  21:37</t>
  </si>
  <si>
    <t>2 horas 4 minutos</t>
  </si>
  <si>
    <t>Miyashiro</t>
  </si>
  <si>
    <t>Kevin</t>
  </si>
  <si>
    <t>Gonzalez Amaro</t>
  </si>
  <si>
    <t>Aldo Alfredo</t>
  </si>
  <si>
    <t>Ruiz Díaz</t>
  </si>
  <si>
    <t>Denise</t>
  </si>
  <si>
    <t>denisedrd88@gmail.com</t>
  </si>
  <si>
    <t>6 de octubre de 2021  03:48</t>
  </si>
  <si>
    <t>3 horas 56 minutos</t>
  </si>
  <si>
    <t>Garrido</t>
  </si>
  <si>
    <t>pablog25@gmail.com</t>
  </si>
  <si>
    <t>6 de octubre de 2021  00:45</t>
  </si>
  <si>
    <t>6 de octubre de 2021  05:31</t>
  </si>
  <si>
    <t>Sanchez</t>
  </si>
  <si>
    <t>Leonardo</t>
  </si>
  <si>
    <t>id1540549999@gmail.com</t>
  </si>
  <si>
    <t>6 de octubre de 2021  05:58</t>
  </si>
  <si>
    <t>6 de octubre de 2021  07:23</t>
  </si>
  <si>
    <t>1 hora 24 minutos</t>
  </si>
  <si>
    <t>Flores</t>
  </si>
  <si>
    <t>Florencia Sofía</t>
  </si>
  <si>
    <t>florcitasep@gmail.com</t>
  </si>
  <si>
    <t>6 de octubre de 2021  08:16</t>
  </si>
  <si>
    <t>6 de octubre de 2021  12:38</t>
  </si>
  <si>
    <t>4 horas 22 minutos</t>
  </si>
  <si>
    <t>Lopez</t>
  </si>
  <si>
    <t>Lucas</t>
  </si>
  <si>
    <t>Hualde</t>
  </si>
  <si>
    <t>Carlos Agustín</t>
  </si>
  <si>
    <t>hualdecarlosagustin@gmail.com</t>
  </si>
  <si>
    <t>6 de octubre de 2021  11:43</t>
  </si>
  <si>
    <t>6 de octubre de 2021  15:00</t>
  </si>
  <si>
    <t>Gonzalez</t>
  </si>
  <si>
    <t>4 horas 58 minutos</t>
  </si>
  <si>
    <t>Duarte Lezcano</t>
  </si>
  <si>
    <t>Patricia</t>
  </si>
  <si>
    <t>Herrera</t>
  </si>
  <si>
    <t>Hector</t>
  </si>
  <si>
    <t>herrerafedericohector@gmail.com</t>
  </si>
  <si>
    <t>6 de octubre de 2021  12:31</t>
  </si>
  <si>
    <t>6 de octubre de 2021  17:33</t>
  </si>
  <si>
    <t>Moyano</t>
  </si>
  <si>
    <t>Julian</t>
  </si>
  <si>
    <t>julian7764@gmail.com</t>
  </si>
  <si>
    <t>6 de octubre de 2021  13:34</t>
  </si>
  <si>
    <t>6 de octubre de 2021  18:32</t>
  </si>
  <si>
    <t>Becerra</t>
  </si>
  <si>
    <t>Erik</t>
  </si>
  <si>
    <t>52 segundos</t>
  </si>
  <si>
    <t>14 de octubre de 2021  19:11</t>
  </si>
  <si>
    <t>14 de octubre de 2021  19:10</t>
  </si>
  <si>
    <t>lucasnacho18@gmail.com</t>
  </si>
  <si>
    <t>Kindernerk</t>
  </si>
  <si>
    <t>59 minutos 14 segundos</t>
  </si>
  <si>
    <t>14 de octubre de 2021  23:46</t>
  </si>
  <si>
    <t>14 de octubre de 2021  22:46</t>
  </si>
  <si>
    <t>2 horas 1 minutos</t>
  </si>
  <si>
    <t>14 de octubre de 2021  21:06</t>
  </si>
  <si>
    <t>14 de octubre de 2021  19:04</t>
  </si>
  <si>
    <t>14 de octubre de 2021  18:41</t>
  </si>
  <si>
    <t>14 de octubre de 2021  17:15</t>
  </si>
  <si>
    <t>1 hora 58 minutos</t>
  </si>
  <si>
    <t>16 de octubre de 2021  11:55</t>
  </si>
  <si>
    <t>16 de octubre de 2021  09:56</t>
  </si>
  <si>
    <t>14 de octubre de 2021  23:23</t>
  </si>
  <si>
    <t>14 de octubre de 2021  21:56</t>
  </si>
  <si>
    <t>1 hora 30 minutos</t>
  </si>
  <si>
    <t>14 de octubre de 2021  16:16</t>
  </si>
  <si>
    <t>14 de octubre de 2021  14:45</t>
  </si>
  <si>
    <t>28 minutos 30 segundos</t>
  </si>
  <si>
    <t>13 de octubre de 2021  19:32</t>
  </si>
  <si>
    <t>13 de octubre de 2021  19:03</t>
  </si>
  <si>
    <t>1 hora 6 minutos</t>
  </si>
  <si>
    <t>14 de octubre de 2021  23:44</t>
  </si>
  <si>
    <t>14 de octubre de 2021  22:38</t>
  </si>
  <si>
    <t>13 de octubre de 2021  21:12</t>
  </si>
  <si>
    <t>13 de octubre de 2021  20:06</t>
  </si>
  <si>
    <t>1 hora 8 minutos</t>
  </si>
  <si>
    <t>11 de octubre de 2021  22:25</t>
  </si>
  <si>
    <t>11 de octubre de 2021  21:16</t>
  </si>
  <si>
    <t>1 hora 3 minutos</t>
  </si>
  <si>
    <t>14 de octubre de 2021  18:18</t>
  </si>
  <si>
    <t>14 de octubre de 2021  17:14</t>
  </si>
  <si>
    <t>Calificación/3,00</t>
  </si>
  <si>
    <t>Resultados PARCIAL Ejercicios de Listas Enlazadas</t>
  </si>
  <si>
    <t>Resultados PARCIALITO Listas Enlazadas</t>
  </si>
  <si>
    <t>1erv PARCIAL</t>
  </si>
  <si>
    <t>2do PARCIAL</t>
  </si>
  <si>
    <t>RESULTADO</t>
  </si>
  <si>
    <t>DESAPROBADO</t>
  </si>
  <si>
    <t>APROBADO</t>
  </si>
  <si>
    <t>PROMOCIONA</t>
  </si>
  <si>
    <t>ACTA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</si>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</sst>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Font="1"/>
    <xf numFmtId="0" fontId="0" fillId="0" borderId="0" xfId="0" applyNumberFormat="1" applyFont="1"/>
    <xf numFmtId="0" fontId="0" fillId="0" borderId="4" xfId="0" applyFont="1" applyBorder="1"/>
    <xf numFmtId="0" fontId="0" fillId="0" borderId="4" xfId="0" applyNumberFormat="1" applyFont="1" applyBorder="1"/>
    <xf numFmtId="0" fontId="0" fillId="2" borderId="4" xfId="0" applyFont="1" applyFill="1" applyBorder="1"/>
    <xf numFmtId="0" fontId="0" fillId="3" borderId="4" xfId="0" applyFont="1" applyFill="1" applyBorder="1"/>
    <xf numFmtId="0" fontId="0" fillId="4" borderId="4" xfId="0" applyFont="1" applyFill="1" applyBorder="1"/>
    <xf numFmtId="0" fontId="0" fillId="0" borderId="4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8" xfId="0" applyNumberFormat="1" applyFont="1" applyBorder="1"/>
    <xf numFmtId="0" fontId="0" fillId="2" borderId="8" xfId="0" applyFont="1" applyFill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1" xfId="0" applyNumberFormat="1" applyFont="1" applyBorder="1"/>
    <xf numFmtId="0" fontId="0" fillId="2" borderId="11" xfId="0" applyFont="1" applyFill="1" applyBorder="1"/>
    <xf numFmtId="0" fontId="0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110" zoomScaleNormal="110" workbookViewId="0">
      <selection activeCell="A16" sqref="A16"/>
    </sheetView>
  </sheetViews>
  <sheetFormatPr baseColWidth="10" defaultRowHeight="16" x14ac:dyDescent="0.2"/>
  <cols>
    <col min="1" max="1" width="15.83203125" customWidth="1"/>
    <col min="2" max="2" width="17" customWidth="1"/>
    <col min="3" max="5" width="10.83203125" customWidth="1"/>
    <col min="7" max="7" width="14.33203125" customWidth="1"/>
    <col min="8" max="8" width="12.83203125" customWidth="1"/>
  </cols>
  <sheetData>
    <row r="1" spans="1:9" ht="17" thickBot="1" x14ac:dyDescent="0.25">
      <c r="A1" s="20" t="s">
        <v>0</v>
      </c>
      <c r="B1" s="21" t="s">
        <v>1</v>
      </c>
      <c r="C1" s="21" t="s">
        <v>7</v>
      </c>
      <c r="D1" s="21" t="s">
        <v>151</v>
      </c>
      <c r="E1" s="21" t="s">
        <v>152</v>
      </c>
      <c r="F1" s="21"/>
      <c r="G1" s="21" t="s">
        <v>153</v>
      </c>
      <c r="H1" s="21"/>
      <c r="I1" s="22" t="s">
        <v>157</v>
      </c>
    </row>
    <row r="2" spans="1:9" x14ac:dyDescent="0.2">
      <c r="A2" s="15" t="s">
        <v>23</v>
      </c>
      <c r="B2" s="16" t="s">
        <v>24</v>
      </c>
      <c r="C2" s="16">
        <f>ROUND(SUM(D2:E2)/2,0)</f>
        <v>0</v>
      </c>
      <c r="D2" s="17">
        <v>0</v>
      </c>
      <c r="E2" s="16">
        <v>0</v>
      </c>
      <c r="F2" s="16"/>
      <c r="G2" s="18" t="s">
        <v>154</v>
      </c>
      <c r="H2" s="16"/>
      <c r="I2" s="19" t="s">
        <v>158</v>
      </c>
    </row>
    <row r="3" spans="1:9" x14ac:dyDescent="0.2">
      <c r="A3" s="8" t="s">
        <v>13</v>
      </c>
      <c r="B3" s="2" t="s">
        <v>14</v>
      </c>
      <c r="C3" s="2">
        <f t="shared" ref="C3:C30" si="0">ROUND(SUM(D3:E3)/2,0)</f>
        <v>0</v>
      </c>
      <c r="D3" s="3">
        <v>0</v>
      </c>
      <c r="E3" s="2">
        <v>0</v>
      </c>
      <c r="F3" s="2"/>
      <c r="G3" s="4" t="s">
        <v>154</v>
      </c>
      <c r="H3" s="2"/>
      <c r="I3" s="9" t="s">
        <v>158</v>
      </c>
    </row>
    <row r="4" spans="1:9" x14ac:dyDescent="0.2">
      <c r="A4" s="8" t="s">
        <v>111</v>
      </c>
      <c r="B4" s="2" t="s">
        <v>112</v>
      </c>
      <c r="C4" s="2">
        <f t="shared" si="0"/>
        <v>2</v>
      </c>
      <c r="D4" s="3">
        <v>3</v>
      </c>
      <c r="E4" s="2">
        <v>0</v>
      </c>
      <c r="F4" s="2"/>
      <c r="G4" s="4" t="s">
        <v>154</v>
      </c>
      <c r="H4" s="2"/>
      <c r="I4" s="9" t="s">
        <v>158</v>
      </c>
    </row>
    <row r="5" spans="1:9" x14ac:dyDescent="0.2">
      <c r="A5" s="8" t="s">
        <v>99</v>
      </c>
      <c r="B5" s="2" t="s">
        <v>100</v>
      </c>
      <c r="C5" s="2">
        <f t="shared" si="0"/>
        <v>6</v>
      </c>
      <c r="D5" s="3">
        <v>8</v>
      </c>
      <c r="E5" s="2">
        <v>4</v>
      </c>
      <c r="F5" s="2"/>
      <c r="G5" s="5" t="s">
        <v>155</v>
      </c>
      <c r="H5" s="2"/>
      <c r="I5" s="9" t="s">
        <v>158</v>
      </c>
    </row>
    <row r="6" spans="1:9" x14ac:dyDescent="0.2">
      <c r="A6" s="8" t="s">
        <v>84</v>
      </c>
      <c r="B6" s="2" t="s">
        <v>85</v>
      </c>
      <c r="C6" s="2">
        <f t="shared" si="0"/>
        <v>7</v>
      </c>
      <c r="D6" s="3">
        <v>7</v>
      </c>
      <c r="E6" s="2">
        <v>6</v>
      </c>
      <c r="F6" s="2"/>
      <c r="G6" s="5" t="s">
        <v>155</v>
      </c>
      <c r="H6" s="6" t="s">
        <v>156</v>
      </c>
      <c r="I6" s="9" t="s">
        <v>158</v>
      </c>
    </row>
    <row r="7" spans="1:9" x14ac:dyDescent="0.2">
      <c r="A7" s="8" t="s">
        <v>50</v>
      </c>
      <c r="B7" s="2" t="s">
        <v>38</v>
      </c>
      <c r="C7" s="2">
        <f t="shared" si="0"/>
        <v>7</v>
      </c>
      <c r="D7" s="3">
        <v>7</v>
      </c>
      <c r="E7" s="2">
        <v>6</v>
      </c>
      <c r="F7" s="2"/>
      <c r="G7" s="5" t="s">
        <v>155</v>
      </c>
      <c r="H7" s="6" t="s">
        <v>156</v>
      </c>
      <c r="I7" s="9" t="s">
        <v>158</v>
      </c>
    </row>
    <row r="8" spans="1:9" x14ac:dyDescent="0.2">
      <c r="A8" s="8" t="s">
        <v>74</v>
      </c>
      <c r="B8" s="2" t="s">
        <v>30</v>
      </c>
      <c r="C8" s="2">
        <f t="shared" si="0"/>
        <v>7</v>
      </c>
      <c r="D8" s="3">
        <v>7</v>
      </c>
      <c r="E8" s="2">
        <v>6</v>
      </c>
      <c r="F8" s="2"/>
      <c r="G8" s="5" t="s">
        <v>155</v>
      </c>
      <c r="H8" s="6" t="s">
        <v>156</v>
      </c>
      <c r="I8" s="9" t="s">
        <v>158</v>
      </c>
    </row>
    <row r="9" spans="1:9" x14ac:dyDescent="0.2">
      <c r="A9" s="8" t="s">
        <v>97</v>
      </c>
      <c r="B9" s="2" t="s">
        <v>60</v>
      </c>
      <c r="C9" s="2">
        <f t="shared" si="0"/>
        <v>6</v>
      </c>
      <c r="D9" s="3">
        <v>6</v>
      </c>
      <c r="E9" s="2">
        <v>5</v>
      </c>
      <c r="F9" s="2"/>
      <c r="G9" s="5" t="s">
        <v>155</v>
      </c>
      <c r="H9" s="2"/>
      <c r="I9" s="9" t="s">
        <v>158</v>
      </c>
    </row>
    <row r="10" spans="1:9" x14ac:dyDescent="0.2">
      <c r="A10" s="8" t="s">
        <v>67</v>
      </c>
      <c r="B10" s="2" t="s">
        <v>68</v>
      </c>
      <c r="C10" s="2">
        <f t="shared" si="0"/>
        <v>6</v>
      </c>
      <c r="D10" s="3">
        <v>8</v>
      </c>
      <c r="E10" s="2">
        <v>4</v>
      </c>
      <c r="F10" s="2"/>
      <c r="G10" s="5" t="s">
        <v>155</v>
      </c>
      <c r="H10" s="2"/>
      <c r="I10" s="9" t="s">
        <v>158</v>
      </c>
    </row>
    <row r="11" spans="1:9" x14ac:dyDescent="0.2">
      <c r="A11" s="8" t="s">
        <v>39</v>
      </c>
      <c r="B11" s="2" t="s">
        <v>40</v>
      </c>
      <c r="C11" s="2">
        <f t="shared" si="0"/>
        <v>9</v>
      </c>
      <c r="D11" s="3">
        <v>9</v>
      </c>
      <c r="E11" s="2">
        <v>8</v>
      </c>
      <c r="F11" s="2"/>
      <c r="G11" s="5" t="s">
        <v>155</v>
      </c>
      <c r="H11" s="6" t="s">
        <v>156</v>
      </c>
      <c r="I11" s="9" t="s">
        <v>158</v>
      </c>
    </row>
    <row r="12" spans="1:9" x14ac:dyDescent="0.2">
      <c r="A12" s="8" t="s">
        <v>26</v>
      </c>
      <c r="B12" s="2" t="s">
        <v>27</v>
      </c>
      <c r="C12" s="2">
        <f t="shared" si="0"/>
        <v>5</v>
      </c>
      <c r="D12" s="3">
        <v>5</v>
      </c>
      <c r="E12" s="2">
        <v>5</v>
      </c>
      <c r="F12" s="2"/>
      <c r="G12" s="5" t="s">
        <v>155</v>
      </c>
      <c r="H12" s="2"/>
      <c r="I12" s="9" t="s">
        <v>158</v>
      </c>
    </row>
    <row r="13" spans="1:9" x14ac:dyDescent="0.2">
      <c r="A13" s="8" t="s">
        <v>101</v>
      </c>
      <c r="B13" s="2" t="s">
        <v>102</v>
      </c>
      <c r="C13" s="2">
        <f t="shared" si="0"/>
        <v>7</v>
      </c>
      <c r="D13" s="3">
        <v>7</v>
      </c>
      <c r="E13" s="2">
        <v>7</v>
      </c>
      <c r="F13" s="2"/>
      <c r="G13" s="5" t="s">
        <v>155</v>
      </c>
      <c r="H13" s="6" t="s">
        <v>156</v>
      </c>
      <c r="I13" s="9" t="s">
        <v>158</v>
      </c>
    </row>
    <row r="14" spans="1:9" x14ac:dyDescent="0.2">
      <c r="A14" s="8" t="s">
        <v>92</v>
      </c>
      <c r="B14" s="2" t="s">
        <v>93</v>
      </c>
      <c r="C14" s="2">
        <f t="shared" si="0"/>
        <v>3</v>
      </c>
      <c r="D14" s="3">
        <v>4</v>
      </c>
      <c r="E14" s="2">
        <v>2</v>
      </c>
      <c r="F14" s="2"/>
      <c r="G14" s="4" t="s">
        <v>154</v>
      </c>
      <c r="H14" s="2"/>
      <c r="I14" s="9" t="s">
        <v>158</v>
      </c>
    </row>
    <row r="15" spans="1:9" x14ac:dyDescent="0.2">
      <c r="A15" s="8" t="s">
        <v>57</v>
      </c>
      <c r="B15" s="2" t="s">
        <v>58</v>
      </c>
      <c r="C15" s="2">
        <f t="shared" si="0"/>
        <v>8</v>
      </c>
      <c r="D15" s="3">
        <v>9</v>
      </c>
      <c r="E15" s="2">
        <v>6</v>
      </c>
      <c r="F15" s="2"/>
      <c r="G15" s="5" t="s">
        <v>155</v>
      </c>
      <c r="H15" s="6" t="s">
        <v>156</v>
      </c>
      <c r="I15" s="9" t="s">
        <v>158</v>
      </c>
    </row>
    <row r="16" spans="1:9" x14ac:dyDescent="0.2">
      <c r="A16" s="8" t="s">
        <v>90</v>
      </c>
      <c r="B16" s="2" t="s">
        <v>91</v>
      </c>
      <c r="C16" s="2">
        <f t="shared" si="0"/>
        <v>1</v>
      </c>
      <c r="D16" s="3">
        <v>2</v>
      </c>
      <c r="E16" s="2">
        <v>0</v>
      </c>
      <c r="F16" s="2"/>
      <c r="G16" s="4" t="s">
        <v>154</v>
      </c>
      <c r="H16" s="2"/>
      <c r="I16" s="9" t="s">
        <v>158</v>
      </c>
    </row>
    <row r="17" spans="1:9" x14ac:dyDescent="0.2">
      <c r="A17" s="8" t="s">
        <v>32</v>
      </c>
      <c r="B17" s="2" t="s">
        <v>33</v>
      </c>
      <c r="C17" s="2">
        <f t="shared" si="0"/>
        <v>9</v>
      </c>
      <c r="D17" s="3">
        <v>8</v>
      </c>
      <c r="E17" s="2">
        <v>9</v>
      </c>
      <c r="F17" s="2"/>
      <c r="G17" s="5" t="s">
        <v>155</v>
      </c>
      <c r="H17" s="6" t="s">
        <v>156</v>
      </c>
      <c r="I17" s="9" t="s">
        <v>158</v>
      </c>
    </row>
    <row r="18" spans="1:9" x14ac:dyDescent="0.2">
      <c r="A18" s="8" t="s">
        <v>42</v>
      </c>
      <c r="B18" s="2" t="s">
        <v>43</v>
      </c>
      <c r="C18" s="2">
        <f t="shared" si="0"/>
        <v>8</v>
      </c>
      <c r="D18" s="3">
        <v>7</v>
      </c>
      <c r="E18" s="2">
        <v>8</v>
      </c>
      <c r="F18" s="2"/>
      <c r="G18" s="5" t="s">
        <v>155</v>
      </c>
      <c r="H18" s="6" t="s">
        <v>156</v>
      </c>
      <c r="I18" s="9" t="s">
        <v>158</v>
      </c>
    </row>
    <row r="19" spans="1:9" x14ac:dyDescent="0.2">
      <c r="A19" s="8" t="s">
        <v>17</v>
      </c>
      <c r="B19" s="2" t="s">
        <v>18</v>
      </c>
      <c r="C19" s="2">
        <f t="shared" si="0"/>
        <v>9</v>
      </c>
      <c r="D19" s="3">
        <v>10</v>
      </c>
      <c r="E19" s="2">
        <v>8</v>
      </c>
      <c r="F19" s="2"/>
      <c r="G19" s="5" t="s">
        <v>155</v>
      </c>
      <c r="H19" s="6" t="s">
        <v>156</v>
      </c>
      <c r="I19" s="9" t="s">
        <v>158</v>
      </c>
    </row>
    <row r="20" spans="1:9" x14ac:dyDescent="0.2">
      <c r="A20" s="8" t="s">
        <v>65</v>
      </c>
      <c r="B20" s="2" t="s">
        <v>66</v>
      </c>
      <c r="C20" s="2">
        <f t="shared" si="0"/>
        <v>7</v>
      </c>
      <c r="D20" s="3">
        <v>7</v>
      </c>
      <c r="E20" s="2">
        <v>7</v>
      </c>
      <c r="F20" s="2"/>
      <c r="G20" s="5" t="s">
        <v>155</v>
      </c>
      <c r="H20" s="6" t="s">
        <v>156</v>
      </c>
      <c r="I20" s="9" t="s">
        <v>158</v>
      </c>
    </row>
    <row r="21" spans="1:9" x14ac:dyDescent="0.2">
      <c r="A21" s="8" t="s">
        <v>29</v>
      </c>
      <c r="B21" s="2" t="s">
        <v>30</v>
      </c>
      <c r="C21" s="2">
        <f t="shared" si="0"/>
        <v>6</v>
      </c>
      <c r="D21" s="3">
        <v>8</v>
      </c>
      <c r="E21" s="2">
        <v>4</v>
      </c>
      <c r="F21" s="2"/>
      <c r="G21" s="5" t="s">
        <v>155</v>
      </c>
      <c r="H21" s="7"/>
      <c r="I21" s="9" t="s">
        <v>158</v>
      </c>
    </row>
    <row r="22" spans="1:9" x14ac:dyDescent="0.2">
      <c r="A22" s="8" t="s">
        <v>106</v>
      </c>
      <c r="B22" s="2" t="s">
        <v>107</v>
      </c>
      <c r="C22" s="2">
        <f t="shared" si="0"/>
        <v>7</v>
      </c>
      <c r="D22" s="3">
        <v>7</v>
      </c>
      <c r="E22" s="2">
        <v>6</v>
      </c>
      <c r="F22" s="2"/>
      <c r="G22" s="5" t="s">
        <v>155</v>
      </c>
      <c r="H22" s="6" t="s">
        <v>156</v>
      </c>
      <c r="I22" s="9" t="s">
        <v>158</v>
      </c>
    </row>
    <row r="23" spans="1:9" x14ac:dyDescent="0.2">
      <c r="A23" s="8" t="s">
        <v>44</v>
      </c>
      <c r="B23" s="2" t="s">
        <v>45</v>
      </c>
      <c r="C23" s="2">
        <f t="shared" si="0"/>
        <v>6</v>
      </c>
      <c r="D23" s="3">
        <v>6</v>
      </c>
      <c r="E23" s="2">
        <v>6</v>
      </c>
      <c r="F23" s="2"/>
      <c r="G23" s="5" t="s">
        <v>155</v>
      </c>
      <c r="H23" s="2"/>
      <c r="I23" s="9" t="s">
        <v>158</v>
      </c>
    </row>
    <row r="24" spans="1:9" x14ac:dyDescent="0.2">
      <c r="A24" s="8" t="s">
        <v>37</v>
      </c>
      <c r="B24" s="2" t="s">
        <v>38</v>
      </c>
      <c r="C24" s="2">
        <f t="shared" si="0"/>
        <v>8</v>
      </c>
      <c r="D24" s="3">
        <v>10</v>
      </c>
      <c r="E24" s="2">
        <v>6</v>
      </c>
      <c r="F24" s="2"/>
      <c r="G24" s="5" t="s">
        <v>155</v>
      </c>
      <c r="H24" s="6" t="s">
        <v>156</v>
      </c>
      <c r="I24" s="9" t="s">
        <v>158</v>
      </c>
    </row>
    <row r="25" spans="1:9" x14ac:dyDescent="0.2">
      <c r="A25" s="8" t="s">
        <v>52</v>
      </c>
      <c r="B25" s="2" t="s">
        <v>53</v>
      </c>
      <c r="C25" s="2">
        <f t="shared" si="0"/>
        <v>6</v>
      </c>
      <c r="D25" s="3">
        <v>7</v>
      </c>
      <c r="E25" s="2">
        <v>5</v>
      </c>
      <c r="F25" s="2"/>
      <c r="G25" s="5" t="s">
        <v>155</v>
      </c>
      <c r="H25" s="2"/>
      <c r="I25" s="9" t="s">
        <v>158</v>
      </c>
    </row>
    <row r="26" spans="1:9" x14ac:dyDescent="0.2">
      <c r="A26" s="8" t="s">
        <v>52</v>
      </c>
      <c r="B26" s="2" t="s">
        <v>54</v>
      </c>
      <c r="C26" s="2">
        <f t="shared" si="0"/>
        <v>6</v>
      </c>
      <c r="D26" s="3">
        <v>5</v>
      </c>
      <c r="E26" s="2">
        <v>6</v>
      </c>
      <c r="F26" s="2"/>
      <c r="G26" s="5" t="s">
        <v>155</v>
      </c>
      <c r="H26" s="2"/>
      <c r="I26" s="9" t="s">
        <v>158</v>
      </c>
    </row>
    <row r="27" spans="1:9" x14ac:dyDescent="0.2">
      <c r="A27" s="8" t="s">
        <v>59</v>
      </c>
      <c r="B27" s="2" t="s">
        <v>60</v>
      </c>
      <c r="C27" s="2">
        <f t="shared" si="0"/>
        <v>10</v>
      </c>
      <c r="D27" s="3">
        <v>10</v>
      </c>
      <c r="E27" s="2">
        <v>9</v>
      </c>
      <c r="F27" s="2"/>
      <c r="G27" s="5" t="s">
        <v>155</v>
      </c>
      <c r="H27" s="6" t="s">
        <v>156</v>
      </c>
      <c r="I27" s="9" t="s">
        <v>158</v>
      </c>
    </row>
    <row r="28" spans="1:9" x14ac:dyDescent="0.2">
      <c r="A28" s="8" t="s">
        <v>69</v>
      </c>
      <c r="B28" s="2" t="s">
        <v>70</v>
      </c>
      <c r="C28" s="2">
        <f t="shared" si="0"/>
        <v>6</v>
      </c>
      <c r="D28" s="3">
        <v>7</v>
      </c>
      <c r="E28" s="2">
        <v>5</v>
      </c>
      <c r="F28" s="2"/>
      <c r="G28" s="5" t="s">
        <v>155</v>
      </c>
      <c r="H28" s="2"/>
      <c r="I28" s="9" t="s">
        <v>158</v>
      </c>
    </row>
    <row r="29" spans="1:9" x14ac:dyDescent="0.2">
      <c r="A29" s="8" t="s">
        <v>78</v>
      </c>
      <c r="B29" s="2" t="s">
        <v>79</v>
      </c>
      <c r="C29" s="2">
        <f t="shared" si="0"/>
        <v>2</v>
      </c>
      <c r="D29" s="3">
        <v>3</v>
      </c>
      <c r="E29" s="2">
        <v>1</v>
      </c>
      <c r="F29" s="2"/>
      <c r="G29" s="4" t="s">
        <v>154</v>
      </c>
      <c r="H29" s="2"/>
      <c r="I29" s="9" t="s">
        <v>158</v>
      </c>
    </row>
    <row r="30" spans="1:9" ht="17" thickBot="1" x14ac:dyDescent="0.25">
      <c r="A30" s="10" t="s">
        <v>55</v>
      </c>
      <c r="B30" s="11" t="s">
        <v>56</v>
      </c>
      <c r="C30" s="11">
        <f t="shared" si="0"/>
        <v>1</v>
      </c>
      <c r="D30" s="12">
        <v>1</v>
      </c>
      <c r="E30" s="11">
        <v>0</v>
      </c>
      <c r="F30" s="11"/>
      <c r="G30" s="13" t="s">
        <v>154</v>
      </c>
      <c r="H30" s="11"/>
      <c r="I30" s="14" t="s">
        <v>158</v>
      </c>
    </row>
    <row r="31" spans="1:9" x14ac:dyDescent="0.2">
      <c r="D31" s="1"/>
    </row>
  </sheetData>
  <sortState ref="A2:R30">
    <sortCondition ref="A2"/>
  </sortState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2725-9D67-A54A-9635-3F8BF3A49A57}">
  <dimension ref="A1:M34"/>
  <sheetViews>
    <sheetView topLeftCell="A2" workbookViewId="0">
      <selection activeCell="D39" sqref="D39"/>
    </sheetView>
  </sheetViews>
  <sheetFormatPr baseColWidth="10" defaultRowHeight="16" x14ac:dyDescent="0.2"/>
  <sheetData>
    <row r="1" spans="1:13" ht="17" thickBot="1" x14ac:dyDescent="0.25">
      <c r="A1" s="23" t="s">
        <v>149</v>
      </c>
      <c r="B1" s="24"/>
      <c r="C1" s="24"/>
      <c r="D1" s="24"/>
      <c r="E1" s="24"/>
      <c r="F1" s="25"/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148</v>
      </c>
      <c r="K3" t="s">
        <v>10</v>
      </c>
      <c r="L3" t="s">
        <v>11</v>
      </c>
      <c r="M3" t="s">
        <v>12</v>
      </c>
    </row>
    <row r="4" spans="1:13" x14ac:dyDescent="0.2">
      <c r="A4" t="s">
        <v>59</v>
      </c>
      <c r="B4" t="s">
        <v>60</v>
      </c>
      <c r="C4" t="s">
        <v>61</v>
      </c>
      <c r="D4" t="s">
        <v>5</v>
      </c>
      <c r="E4" t="s">
        <v>62</v>
      </c>
      <c r="F4" t="s">
        <v>63</v>
      </c>
      <c r="G4" t="s">
        <v>64</v>
      </c>
      <c r="H4" s="1">
        <f>SUM(K4:M4)</f>
        <v>2.25</v>
      </c>
      <c r="K4" s="1">
        <v>0.75</v>
      </c>
      <c r="L4" s="1">
        <v>0.75</v>
      </c>
      <c r="M4" s="1">
        <v>0.75</v>
      </c>
    </row>
    <row r="5" spans="1:13" x14ac:dyDescent="0.2">
      <c r="A5" t="s">
        <v>32</v>
      </c>
      <c r="B5" t="s">
        <v>33</v>
      </c>
      <c r="C5" t="s">
        <v>34</v>
      </c>
      <c r="D5" t="s">
        <v>5</v>
      </c>
      <c r="E5" t="s">
        <v>35</v>
      </c>
      <c r="F5" t="s">
        <v>36</v>
      </c>
      <c r="G5" t="s">
        <v>31</v>
      </c>
      <c r="H5" s="1">
        <f t="shared" ref="H5:H34" si="0">SUM(K5:M5)</f>
        <v>2.25</v>
      </c>
      <c r="K5" s="1">
        <v>0.25</v>
      </c>
      <c r="L5" s="1">
        <v>1</v>
      </c>
      <c r="M5" s="1">
        <v>1</v>
      </c>
    </row>
    <row r="6" spans="1:13" x14ac:dyDescent="0.2">
      <c r="A6" t="s">
        <v>17</v>
      </c>
      <c r="B6" t="s">
        <v>18</v>
      </c>
      <c r="C6" t="s">
        <v>19</v>
      </c>
      <c r="D6" t="s">
        <v>5</v>
      </c>
      <c r="E6" t="s">
        <v>20</v>
      </c>
      <c r="F6" t="s">
        <v>21</v>
      </c>
      <c r="G6" t="s">
        <v>22</v>
      </c>
      <c r="H6" s="1">
        <f t="shared" si="0"/>
        <v>3</v>
      </c>
      <c r="K6" s="1">
        <v>1</v>
      </c>
      <c r="L6" s="1">
        <v>1</v>
      </c>
      <c r="M6" s="1">
        <v>1</v>
      </c>
    </row>
    <row r="7" spans="1:13" x14ac:dyDescent="0.2">
      <c r="A7" t="s">
        <v>74</v>
      </c>
      <c r="B7" t="s">
        <v>30</v>
      </c>
      <c r="C7" t="s">
        <v>75</v>
      </c>
      <c r="D7" t="s">
        <v>5</v>
      </c>
      <c r="E7" t="s">
        <v>76</v>
      </c>
      <c r="F7" t="s">
        <v>77</v>
      </c>
      <c r="G7" t="s">
        <v>51</v>
      </c>
      <c r="H7" s="1">
        <f t="shared" si="0"/>
        <v>1.25</v>
      </c>
      <c r="K7" s="1">
        <v>0.25</v>
      </c>
      <c r="L7" s="1">
        <v>1</v>
      </c>
      <c r="M7" s="1">
        <v>0</v>
      </c>
    </row>
    <row r="8" spans="1:13" x14ac:dyDescent="0.2">
      <c r="A8" t="s">
        <v>44</v>
      </c>
      <c r="B8" t="s">
        <v>45</v>
      </c>
      <c r="C8" t="s">
        <v>46</v>
      </c>
      <c r="D8" t="s">
        <v>5</v>
      </c>
      <c r="E8" t="s">
        <v>47</v>
      </c>
      <c r="F8" t="s">
        <v>48</v>
      </c>
      <c r="G8" t="s">
        <v>49</v>
      </c>
      <c r="H8" s="1">
        <f t="shared" si="0"/>
        <v>0.5</v>
      </c>
      <c r="K8" s="1">
        <v>0.5</v>
      </c>
      <c r="L8" s="1">
        <v>0</v>
      </c>
      <c r="M8" s="1">
        <v>0</v>
      </c>
    </row>
    <row r="9" spans="1:13" x14ac:dyDescent="0.2">
      <c r="A9" t="s">
        <v>92</v>
      </c>
      <c r="B9" t="s">
        <v>93</v>
      </c>
      <c r="C9" t="s">
        <v>94</v>
      </c>
      <c r="D9" t="s">
        <v>5</v>
      </c>
      <c r="E9" t="s">
        <v>95</v>
      </c>
      <c r="F9" t="s">
        <v>96</v>
      </c>
      <c r="G9" t="s">
        <v>28</v>
      </c>
      <c r="H9" s="1">
        <f t="shared" si="0"/>
        <v>0</v>
      </c>
      <c r="K9" t="s">
        <v>16</v>
      </c>
      <c r="L9" t="s">
        <v>16</v>
      </c>
      <c r="M9" t="s">
        <v>16</v>
      </c>
    </row>
    <row r="10" spans="1:13" x14ac:dyDescent="0.2">
      <c r="A10" t="s">
        <v>69</v>
      </c>
      <c r="B10" t="s">
        <v>70</v>
      </c>
      <c r="C10" t="s">
        <v>71</v>
      </c>
      <c r="D10" t="s">
        <v>5</v>
      </c>
      <c r="E10" t="s">
        <v>41</v>
      </c>
      <c r="F10" t="s">
        <v>72</v>
      </c>
      <c r="G10" t="s">
        <v>73</v>
      </c>
      <c r="H10" s="1">
        <f t="shared" si="0"/>
        <v>0.25</v>
      </c>
      <c r="K10" s="1">
        <v>0.25</v>
      </c>
      <c r="L10" s="1">
        <v>0</v>
      </c>
      <c r="M10" s="1">
        <v>0</v>
      </c>
    </row>
    <row r="11" spans="1:13" x14ac:dyDescent="0.2">
      <c r="A11" t="s">
        <v>106</v>
      </c>
      <c r="B11" t="s">
        <v>107</v>
      </c>
      <c r="C11" t="s">
        <v>108</v>
      </c>
      <c r="D11" t="s">
        <v>5</v>
      </c>
      <c r="E11" t="s">
        <v>109</v>
      </c>
      <c r="F11" t="s">
        <v>110</v>
      </c>
      <c r="G11" t="s">
        <v>98</v>
      </c>
      <c r="H11" s="1">
        <f t="shared" si="0"/>
        <v>0</v>
      </c>
      <c r="K11" t="s">
        <v>16</v>
      </c>
      <c r="L11" t="s">
        <v>16</v>
      </c>
      <c r="M11" t="s">
        <v>16</v>
      </c>
    </row>
    <row r="12" spans="1:13" x14ac:dyDescent="0.2">
      <c r="A12" t="s">
        <v>101</v>
      </c>
      <c r="B12" t="s">
        <v>102</v>
      </c>
      <c r="C12" t="s">
        <v>103</v>
      </c>
      <c r="D12" t="s">
        <v>5</v>
      </c>
      <c r="E12" t="s">
        <v>104</v>
      </c>
      <c r="F12" t="s">
        <v>105</v>
      </c>
      <c r="G12" t="s">
        <v>25</v>
      </c>
      <c r="H12" s="1">
        <f t="shared" si="0"/>
        <v>1.25</v>
      </c>
      <c r="K12" s="1">
        <v>0.25</v>
      </c>
      <c r="L12" s="1">
        <v>1</v>
      </c>
      <c r="M12" t="s">
        <v>16</v>
      </c>
    </row>
    <row r="13" spans="1:13" x14ac:dyDescent="0.2">
      <c r="A13" t="s">
        <v>84</v>
      </c>
      <c r="B13" t="s">
        <v>85</v>
      </c>
      <c r="C13" t="s">
        <v>86</v>
      </c>
      <c r="D13" t="s">
        <v>5</v>
      </c>
      <c r="E13" t="s">
        <v>87</v>
      </c>
      <c r="F13" t="s">
        <v>88</v>
      </c>
      <c r="G13" t="s">
        <v>89</v>
      </c>
      <c r="H13" s="1">
        <f t="shared" si="0"/>
        <v>2</v>
      </c>
      <c r="K13" s="1">
        <v>0.5</v>
      </c>
      <c r="L13" s="1">
        <v>1</v>
      </c>
      <c r="M13" s="1">
        <v>0.5</v>
      </c>
    </row>
    <row r="14" spans="1:13" x14ac:dyDescent="0.2">
      <c r="A14" t="s">
        <v>78</v>
      </c>
      <c r="B14" t="s">
        <v>79</v>
      </c>
      <c r="C14" t="s">
        <v>80</v>
      </c>
      <c r="D14" t="s">
        <v>5</v>
      </c>
      <c r="E14" t="s">
        <v>81</v>
      </c>
      <c r="F14" t="s">
        <v>82</v>
      </c>
      <c r="G14" t="s">
        <v>83</v>
      </c>
      <c r="H14" s="1">
        <f t="shared" si="0"/>
        <v>0.5</v>
      </c>
      <c r="K14" s="1">
        <v>0.5</v>
      </c>
      <c r="L14" s="1">
        <v>0</v>
      </c>
      <c r="M14" s="1">
        <v>0</v>
      </c>
    </row>
    <row r="15" spans="1:13" x14ac:dyDescent="0.2">
      <c r="H15" s="1"/>
    </row>
    <row r="16" spans="1:13" x14ac:dyDescent="0.2">
      <c r="H16" s="1"/>
    </row>
    <row r="17" spans="1:13" x14ac:dyDescent="0.2">
      <c r="H17" s="1"/>
    </row>
    <row r="18" spans="1:13" ht="17" thickBot="1" x14ac:dyDescent="0.25">
      <c r="H18" s="1"/>
    </row>
    <row r="19" spans="1:13" ht="17" thickBot="1" x14ac:dyDescent="0.25">
      <c r="A19" s="23" t="s">
        <v>150</v>
      </c>
      <c r="B19" s="24"/>
      <c r="C19" s="24"/>
      <c r="D19" s="24"/>
      <c r="E19" s="24"/>
      <c r="F19" s="25"/>
      <c r="H19" s="1"/>
    </row>
    <row r="20" spans="1:13" x14ac:dyDescent="0.2">
      <c r="H20" s="1"/>
    </row>
    <row r="21" spans="1:13" x14ac:dyDescent="0.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1"/>
      <c r="K21" t="s">
        <v>9</v>
      </c>
      <c r="L21" t="s">
        <v>8</v>
      </c>
      <c r="M21" t="s">
        <v>10</v>
      </c>
    </row>
    <row r="22" spans="1:13" x14ac:dyDescent="0.2">
      <c r="A22" t="s">
        <v>59</v>
      </c>
      <c r="B22" t="s">
        <v>60</v>
      </c>
      <c r="C22" t="s">
        <v>61</v>
      </c>
      <c r="D22" t="s">
        <v>5</v>
      </c>
      <c r="E22" t="s">
        <v>147</v>
      </c>
      <c r="F22" t="s">
        <v>146</v>
      </c>
      <c r="G22" t="s">
        <v>145</v>
      </c>
      <c r="H22" s="1">
        <f t="shared" si="0"/>
        <v>3</v>
      </c>
      <c r="K22" s="1">
        <v>1</v>
      </c>
      <c r="L22" s="1">
        <v>1</v>
      </c>
      <c r="M22" s="1">
        <v>1</v>
      </c>
    </row>
    <row r="23" spans="1:13" x14ac:dyDescent="0.2">
      <c r="A23" t="s">
        <v>32</v>
      </c>
      <c r="B23" t="s">
        <v>33</v>
      </c>
      <c r="C23" t="s">
        <v>34</v>
      </c>
      <c r="D23" t="s">
        <v>5</v>
      </c>
      <c r="E23" t="s">
        <v>144</v>
      </c>
      <c r="F23" t="s">
        <v>143</v>
      </c>
      <c r="G23" t="s">
        <v>142</v>
      </c>
      <c r="H23" s="1">
        <f t="shared" si="0"/>
        <v>0.75</v>
      </c>
      <c r="K23" s="1">
        <v>0.25</v>
      </c>
      <c r="L23" s="1">
        <v>0</v>
      </c>
      <c r="M23" s="1">
        <v>0.5</v>
      </c>
    </row>
    <row r="24" spans="1:13" x14ac:dyDescent="0.2">
      <c r="A24" t="s">
        <v>17</v>
      </c>
      <c r="B24" t="s">
        <v>18</v>
      </c>
      <c r="C24" t="s">
        <v>19</v>
      </c>
      <c r="D24" t="s">
        <v>5</v>
      </c>
      <c r="E24" t="s">
        <v>141</v>
      </c>
      <c r="F24" t="s">
        <v>140</v>
      </c>
      <c r="G24" t="s">
        <v>137</v>
      </c>
      <c r="H24" s="1">
        <f t="shared" si="0"/>
        <v>0.25</v>
      </c>
      <c r="K24" s="1">
        <v>0</v>
      </c>
      <c r="L24" s="1">
        <v>0</v>
      </c>
      <c r="M24" s="1">
        <v>0.25</v>
      </c>
    </row>
    <row r="25" spans="1:13" x14ac:dyDescent="0.2">
      <c r="A25" t="s">
        <v>74</v>
      </c>
      <c r="B25" t="s">
        <v>30</v>
      </c>
      <c r="C25" t="s">
        <v>75</v>
      </c>
      <c r="D25" t="s">
        <v>5</v>
      </c>
      <c r="E25" t="s">
        <v>139</v>
      </c>
      <c r="F25" t="s">
        <v>138</v>
      </c>
      <c r="G25" t="s">
        <v>137</v>
      </c>
      <c r="H25" s="1">
        <f t="shared" si="0"/>
        <v>0.25</v>
      </c>
      <c r="K25" s="1">
        <v>0</v>
      </c>
      <c r="L25" s="1">
        <v>0</v>
      </c>
      <c r="M25" s="1">
        <v>0.25</v>
      </c>
    </row>
    <row r="26" spans="1:13" x14ac:dyDescent="0.2">
      <c r="A26" t="s">
        <v>44</v>
      </c>
      <c r="B26" t="s">
        <v>45</v>
      </c>
      <c r="C26" t="s">
        <v>46</v>
      </c>
      <c r="D26" t="s">
        <v>5</v>
      </c>
      <c r="E26" t="s">
        <v>136</v>
      </c>
      <c r="F26" t="s">
        <v>135</v>
      </c>
      <c r="G26" t="s">
        <v>134</v>
      </c>
      <c r="H26" s="1">
        <f t="shared" si="0"/>
        <v>0</v>
      </c>
      <c r="K26" t="s">
        <v>16</v>
      </c>
      <c r="L26" s="1">
        <v>0</v>
      </c>
      <c r="M26" s="1">
        <v>0</v>
      </c>
    </row>
    <row r="27" spans="1:13" x14ac:dyDescent="0.2">
      <c r="A27" t="s">
        <v>92</v>
      </c>
      <c r="B27" t="s">
        <v>93</v>
      </c>
      <c r="C27" t="s">
        <v>94</v>
      </c>
      <c r="D27" t="s">
        <v>5</v>
      </c>
      <c r="E27" t="s">
        <v>133</v>
      </c>
      <c r="F27" t="s">
        <v>132</v>
      </c>
      <c r="G27" t="s">
        <v>131</v>
      </c>
      <c r="H27" s="1">
        <f t="shared" si="0"/>
        <v>0</v>
      </c>
      <c r="K27" t="s">
        <v>16</v>
      </c>
      <c r="L27" t="s">
        <v>16</v>
      </c>
      <c r="M27" s="1">
        <v>0</v>
      </c>
    </row>
    <row r="28" spans="1:13" x14ac:dyDescent="0.2">
      <c r="A28" t="s">
        <v>69</v>
      </c>
      <c r="B28" t="s">
        <v>70</v>
      </c>
      <c r="C28" t="s">
        <v>71</v>
      </c>
      <c r="D28" t="s">
        <v>5</v>
      </c>
      <c r="E28" t="s">
        <v>130</v>
      </c>
      <c r="F28" t="s">
        <v>129</v>
      </c>
      <c r="G28" t="s">
        <v>15</v>
      </c>
      <c r="H28" s="1">
        <f t="shared" si="0"/>
        <v>0</v>
      </c>
      <c r="K28" s="1">
        <v>0</v>
      </c>
      <c r="L28" s="1">
        <v>0</v>
      </c>
      <c r="M28" s="1">
        <v>0</v>
      </c>
    </row>
    <row r="29" spans="1:13" x14ac:dyDescent="0.2">
      <c r="A29" t="s">
        <v>106</v>
      </c>
      <c r="B29" t="s">
        <v>107</v>
      </c>
      <c r="C29" t="s">
        <v>108</v>
      </c>
      <c r="D29" t="s">
        <v>5</v>
      </c>
      <c r="E29" t="s">
        <v>128</v>
      </c>
      <c r="F29" t="s">
        <v>127</v>
      </c>
      <c r="G29" t="s">
        <v>126</v>
      </c>
      <c r="H29" s="1">
        <f t="shared" si="0"/>
        <v>1</v>
      </c>
      <c r="K29" s="1">
        <v>1</v>
      </c>
      <c r="L29" s="1">
        <v>0</v>
      </c>
      <c r="M29" s="1">
        <v>0</v>
      </c>
    </row>
    <row r="30" spans="1:13" x14ac:dyDescent="0.2">
      <c r="A30" t="s">
        <v>101</v>
      </c>
      <c r="B30" t="s">
        <v>102</v>
      </c>
      <c r="C30" t="s">
        <v>103</v>
      </c>
      <c r="D30" t="s">
        <v>5</v>
      </c>
      <c r="E30" t="s">
        <v>125</v>
      </c>
      <c r="F30" t="s">
        <v>124</v>
      </c>
      <c r="G30" t="s">
        <v>15</v>
      </c>
      <c r="H30" s="1">
        <f t="shared" si="0"/>
        <v>0.5</v>
      </c>
      <c r="K30" s="1">
        <v>0.5</v>
      </c>
      <c r="L30" s="1">
        <v>0</v>
      </c>
      <c r="M30" t="s">
        <v>16</v>
      </c>
    </row>
    <row r="31" spans="1:13" x14ac:dyDescent="0.2">
      <c r="A31" t="s">
        <v>84</v>
      </c>
      <c r="B31" t="s">
        <v>85</v>
      </c>
      <c r="C31" t="s">
        <v>86</v>
      </c>
      <c r="D31" t="s">
        <v>5</v>
      </c>
      <c r="E31" t="s">
        <v>123</v>
      </c>
      <c r="F31" t="s">
        <v>122</v>
      </c>
      <c r="G31" t="s">
        <v>121</v>
      </c>
      <c r="H31" s="1">
        <f t="shared" si="0"/>
        <v>0</v>
      </c>
      <c r="K31" t="s">
        <v>16</v>
      </c>
      <c r="L31" t="s">
        <v>16</v>
      </c>
      <c r="M31" t="s">
        <v>16</v>
      </c>
    </row>
    <row r="32" spans="1:13" x14ac:dyDescent="0.2">
      <c r="A32" t="s">
        <v>78</v>
      </c>
      <c r="B32" t="s">
        <v>79</v>
      </c>
      <c r="C32" t="s">
        <v>80</v>
      </c>
      <c r="D32" t="s">
        <v>5</v>
      </c>
      <c r="E32" t="s">
        <v>120</v>
      </c>
      <c r="F32" t="s">
        <v>119</v>
      </c>
      <c r="G32" t="s">
        <v>118</v>
      </c>
      <c r="H32" s="1">
        <f t="shared" si="0"/>
        <v>0</v>
      </c>
      <c r="K32" t="s">
        <v>16</v>
      </c>
      <c r="L32" t="s">
        <v>16</v>
      </c>
      <c r="M32" t="s">
        <v>16</v>
      </c>
    </row>
    <row r="33" spans="1:13" x14ac:dyDescent="0.2">
      <c r="H33" s="1"/>
    </row>
    <row r="34" spans="1:13" x14ac:dyDescent="0.2">
      <c r="A34" t="s">
        <v>117</v>
      </c>
      <c r="B34" t="s">
        <v>91</v>
      </c>
      <c r="C34" t="s">
        <v>116</v>
      </c>
      <c r="D34" t="s">
        <v>5</v>
      </c>
      <c r="E34" t="s">
        <v>115</v>
      </c>
      <c r="F34" t="s">
        <v>114</v>
      </c>
      <c r="G34" t="s">
        <v>113</v>
      </c>
      <c r="H34" s="1">
        <f t="shared" si="0"/>
        <v>0</v>
      </c>
      <c r="K34" t="s">
        <v>16</v>
      </c>
      <c r="L34" t="s">
        <v>16</v>
      </c>
      <c r="M34" t="s">
        <v>16</v>
      </c>
    </row>
  </sheetData>
  <mergeCells count="2">
    <mergeCell ref="A19:F19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PARCIAL</vt:lpstr>
      <vt:lpstr>PARCIALITO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Agustin Ambrossio</cp:lastModifiedBy>
  <cp:lastPrinted>2021-12-07T17:55:32Z</cp:lastPrinted>
  <dcterms:created xsi:type="dcterms:W3CDTF">2021-10-19T01:15:20Z</dcterms:created>
  <dcterms:modified xsi:type="dcterms:W3CDTF">2021-12-07T19:43:38Z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2021-10-18T21:23:04-03:00</dcterms:created>
  <dcterms:modified xsi:type="dcterms:W3CDTF">2021-10-18T21:23:04-03:00</dcterms:modified>
  <cp:revision>0</cp:revision>
</cp:coreProperties>
</file>